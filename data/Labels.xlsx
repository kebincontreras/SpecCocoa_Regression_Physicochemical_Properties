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<sst xmlns="http://schemas.openxmlformats.org/spreadsheetml/2006/main" count="158" uniqueCount="103">
  <si>
    <t xml:space="preserve">Package</t>
  </si>
  <si>
    <t xml:space="preserve">Lot</t>
  </si>
  <si>
    <t xml:space="preserve">Fermentation</t>
  </si>
  <si>
    <t xml:space="preserve">Moisture</t>
  </si>
  <si>
    <t xml:space="preserve">Cadmium</t>
  </si>
  <si>
    <t xml:space="preserve">Polyphenols</t>
  </si>
  <si>
    <t xml:space="preserve">DateOfReceipt</t>
  </si>
  <si>
    <t xml:space="preserve">FermentationHours</t>
  </si>
  <si>
    <t xml:space="preserve">L1F60H096R290324</t>
  </si>
  <si>
    <t xml:space="preserve">5.12</t>
  </si>
  <si>
    <t xml:space="preserve">2.14</t>
  </si>
  <si>
    <t xml:space="preserve">41.30</t>
  </si>
  <si>
    <t xml:space="preserve">L2F66H144R310324</t>
  </si>
  <si>
    <t xml:space="preserve">4.93</t>
  </si>
  <si>
    <t xml:space="preserve">1.29</t>
  </si>
  <si>
    <t xml:space="preserve">34.24</t>
  </si>
  <si>
    <t xml:space="preserve">L3F84H192R020424</t>
  </si>
  <si>
    <t xml:space="preserve">4.80</t>
  </si>
  <si>
    <t xml:space="preserve">1.25</t>
  </si>
  <si>
    <t xml:space="preserve">40.38</t>
  </si>
  <si>
    <t xml:space="preserve">L4F92H264R130424</t>
  </si>
  <si>
    <t xml:space="preserve">4.75</t>
  </si>
  <si>
    <t xml:space="preserve">1.23</t>
  </si>
  <si>
    <t xml:space="preserve">39.81</t>
  </si>
  <si>
    <r>
      <rPr>
        <sz val="11"/>
        <color rgb="FF000000"/>
        <rFont val="Calibri"/>
        <family val="0"/>
        <charset val="1"/>
      </rPr>
      <t xml:space="preserve">L5F96H</t>
    </r>
    <r>
      <rPr>
        <sz val="11"/>
        <color rgb="FFFF0000"/>
        <rFont val="Calibri"/>
        <family val="0"/>
        <charset val="1"/>
      </rPr>
      <t xml:space="preserve">XXX</t>
    </r>
    <r>
      <rPr>
        <sz val="11"/>
        <color rgb="FF000000"/>
        <rFont val="Calibri"/>
        <family val="0"/>
        <charset val="1"/>
      </rPr>
      <t xml:space="preserve">R</t>
    </r>
    <r>
      <rPr>
        <sz val="11"/>
        <color rgb="FFFF0000"/>
        <rFont val="Calibri"/>
        <family val="0"/>
        <charset val="1"/>
      </rPr>
      <t xml:space="preserve">DDMMAA</t>
    </r>
  </si>
  <si>
    <t xml:space="preserve">4.71</t>
  </si>
  <si>
    <t xml:space="preserve">1.09</t>
  </si>
  <si>
    <t xml:space="preserve">26.71</t>
  </si>
  <si>
    <t xml:space="preserve">xxx</t>
  </si>
  <si>
    <t xml:space="preserve">L1F85H110E270624</t>
  </si>
  <si>
    <t xml:space="preserve">4.94</t>
  </si>
  <si>
    <t xml:space="preserve">1.69</t>
  </si>
  <si>
    <t xml:space="preserve">39.75</t>
  </si>
  <si>
    <t xml:space="preserve">L2F73H144E270624</t>
  </si>
  <si>
    <t xml:space="preserve">4.79</t>
  </si>
  <si>
    <t xml:space="preserve">2.57</t>
  </si>
  <si>
    <t xml:space="preserve">32.85</t>
  </si>
  <si>
    <t xml:space="preserve">L3F94H216E270624</t>
  </si>
  <si>
    <t xml:space="preserve">4.56</t>
  </si>
  <si>
    <t xml:space="preserve">2.19</t>
  </si>
  <si>
    <t xml:space="preserve">28.78</t>
  </si>
  <si>
    <t xml:space="preserve">L4F96H252E270624</t>
  </si>
  <si>
    <t xml:space="preserve">5.09</t>
  </si>
  <si>
    <t xml:space="preserve">1.73</t>
  </si>
  <si>
    <t xml:space="preserve">23.74</t>
  </si>
  <si>
    <t xml:space="preserve">L1F66H096E221024</t>
  </si>
  <si>
    <t xml:space="preserve">5.82</t>
  </si>
  <si>
    <t xml:space="preserve">5.55</t>
  </si>
  <si>
    <t xml:space="preserve">27.66</t>
  </si>
  <si>
    <t xml:space="preserve">L2F94H144E221024</t>
  </si>
  <si>
    <t xml:space="preserve">5.68</t>
  </si>
  <si>
    <t xml:space="preserve">23.05</t>
  </si>
  <si>
    <t xml:space="preserve">L3F96H192E221024</t>
  </si>
  <si>
    <t xml:space="preserve">5.67</t>
  </si>
  <si>
    <t xml:space="preserve">3.65</t>
  </si>
  <si>
    <t xml:space="preserve">25.09</t>
  </si>
  <si>
    <t xml:space="preserve">L4F100H264E221024</t>
  </si>
  <si>
    <t xml:space="preserve">3.14</t>
  </si>
  <si>
    <t xml:space="preserve">22.76</t>
  </si>
  <si>
    <t xml:space="preserve">L1F30H096E221124</t>
  </si>
  <si>
    <t xml:space="preserve">6.68</t>
  </si>
  <si>
    <t xml:space="preserve">&lt;0.09</t>
  </si>
  <si>
    <t xml:space="preserve">35.41</t>
  </si>
  <si>
    <t xml:space="preserve">L2F45H144E221124</t>
  </si>
  <si>
    <t xml:space="preserve">6.60</t>
  </si>
  <si>
    <t xml:space="preserve">37.29</t>
  </si>
  <si>
    <t xml:space="preserve">L3F70H192E221124</t>
  </si>
  <si>
    <t xml:space="preserve">6.87</t>
  </si>
  <si>
    <t xml:space="preserve">36.48</t>
  </si>
  <si>
    <t xml:space="preserve">L4F70H264E221124</t>
  </si>
  <si>
    <t xml:space="preserve">8.44</t>
  </si>
  <si>
    <t xml:space="preserve">25.90</t>
  </si>
  <si>
    <t xml:space="preserve">L1F44H096E240225</t>
  </si>
  <si>
    <t xml:space="preserve">L2F70H144E240225</t>
  </si>
  <si>
    <t xml:space="preserve">L3F87H192E240225</t>
  </si>
  <si>
    <t xml:space="preserve">L4F96H259E240225</t>
  </si>
  <si>
    <r>
      <rPr>
        <sz val="11"/>
        <color rgb="FF000000"/>
        <rFont val="Calibri"/>
        <family val="2"/>
        <charset val="1"/>
      </rPr>
      <t xml:space="preserve">L</t>
    </r>
    <r>
      <rPr>
        <sz val="11"/>
        <color rgb="FF00B0F0"/>
        <rFont val="Calibri"/>
        <family val="2"/>
        <charset val="1"/>
      </rPr>
      <t xml:space="preserve">HUILA</t>
    </r>
    <r>
      <rPr>
        <sz val="11"/>
        <color rgb="FF000000"/>
        <rFont val="Calibri"/>
        <family val="0"/>
        <charset val="1"/>
      </rPr>
      <t xml:space="preserve">FZZHZZZE010425</t>
    </r>
  </si>
  <si>
    <t xml:space="preserve">5.02</t>
  </si>
  <si>
    <t xml:space="preserve">0.84</t>
  </si>
  <si>
    <t xml:space="preserve">35.21</t>
  </si>
  <si>
    <r>
      <rPr>
        <sz val="11"/>
        <color rgb="FF000000"/>
        <rFont val="Calibri"/>
        <family val="2"/>
        <charset val="1"/>
      </rPr>
      <t xml:space="preserve">L</t>
    </r>
    <r>
      <rPr>
        <sz val="11"/>
        <color rgb="FF00B0F0"/>
        <rFont val="Calibri"/>
        <family val="2"/>
        <charset val="1"/>
      </rPr>
      <t xml:space="preserve">PUTUMAYO</t>
    </r>
    <r>
      <rPr>
        <sz val="11"/>
        <color rgb="FF000000"/>
        <rFont val="Calibri"/>
        <family val="0"/>
        <charset val="1"/>
      </rPr>
      <t xml:space="preserve">FZZHZZZE010425</t>
    </r>
  </si>
  <si>
    <t xml:space="preserve">28.80</t>
  </si>
  <si>
    <r>
      <rPr>
        <sz val="11"/>
        <color rgb="FF000000"/>
        <rFont val="Calibri"/>
        <family val="2"/>
        <charset val="1"/>
      </rPr>
      <t xml:space="preserve">L</t>
    </r>
    <r>
      <rPr>
        <sz val="11"/>
        <color rgb="FF00B0F0"/>
        <rFont val="Calibri"/>
        <family val="2"/>
        <charset val="1"/>
      </rPr>
      <t xml:space="preserve">PERU1</t>
    </r>
    <r>
      <rPr>
        <sz val="11"/>
        <color rgb="FF000000"/>
        <rFont val="Calibri"/>
        <family val="0"/>
        <charset val="1"/>
      </rPr>
      <t xml:space="preserve">FZHZEZC050525</t>
    </r>
  </si>
  <si>
    <t xml:space="preserve">5.36</t>
  </si>
  <si>
    <t xml:space="preserve">2.52</t>
  </si>
  <si>
    <t xml:space="preserve">33.94</t>
  </si>
  <si>
    <r>
      <rPr>
        <sz val="11"/>
        <color rgb="FF000000"/>
        <rFont val="Calibri"/>
        <family val="2"/>
        <charset val="1"/>
      </rPr>
      <t xml:space="preserve">L</t>
    </r>
    <r>
      <rPr>
        <sz val="11"/>
        <color rgb="FF00B0F0"/>
        <rFont val="Calibri"/>
        <family val="2"/>
        <charset val="1"/>
      </rPr>
      <t xml:space="preserve">PERU2</t>
    </r>
    <r>
      <rPr>
        <sz val="11"/>
        <color rgb="FF000000"/>
        <rFont val="Calibri"/>
        <family val="0"/>
        <charset val="1"/>
      </rPr>
      <t xml:space="preserve">FZHZEZC050525</t>
    </r>
  </si>
  <si>
    <r>
      <rPr>
        <sz val="11"/>
        <color rgb="FF000000"/>
        <rFont val="Calibri"/>
        <family val="2"/>
        <charset val="1"/>
      </rPr>
      <t xml:space="preserve">L</t>
    </r>
    <r>
      <rPr>
        <sz val="11"/>
        <color rgb="FF00B0F0"/>
        <rFont val="Calibri"/>
        <family val="2"/>
        <charset val="1"/>
      </rPr>
      <t xml:space="preserve">PERU3</t>
    </r>
    <r>
      <rPr>
        <sz val="11"/>
        <color rgb="FF000000"/>
        <rFont val="Calibri"/>
        <family val="0"/>
        <charset val="1"/>
      </rPr>
      <t xml:space="preserve">FZHZEZC050525</t>
    </r>
  </si>
  <si>
    <t xml:space="preserve">Etiqueta</t>
  </si>
  <si>
    <t xml:space="preserve">Propiedades Fisico/Quimicas</t>
  </si>
  <si>
    <t xml:space="preserve">Fermentacion</t>
  </si>
  <si>
    <t xml:space="preserve">Humedad</t>
  </si>
  <si>
    <t xml:space="preserve">Cadmio</t>
  </si>
  <si>
    <t xml:space="preserve">Polifenoles</t>
  </si>
  <si>
    <t xml:space="preserve">Bien</t>
  </si>
  <si>
    <t xml:space="preserve">Parcial</t>
  </si>
  <si>
    <t xml:space="preserve">NO</t>
  </si>
  <si>
    <t xml:space="preserve">%</t>
  </si>
  <si>
    <t xml:space="preserve">No. Granos</t>
  </si>
  <si>
    <t xml:space="preserve">Fermentacion </t>
  </si>
  <si>
    <t xml:space="preserve">L2F94H144E220624</t>
  </si>
  <si>
    <t xml:space="preserve">L3F96H216E220624</t>
  </si>
  <si>
    <r>
      <rPr>
        <sz val="11"/>
        <color rgb="FF000000"/>
        <rFont val="Calibri"/>
        <family val="0"/>
        <charset val="1"/>
      </rPr>
      <t xml:space="preserve">L4F</t>
    </r>
    <r>
      <rPr>
        <sz val="11"/>
        <color rgb="FFFF0000"/>
        <rFont val="Calibri"/>
        <family val="0"/>
        <charset val="1"/>
      </rPr>
      <t xml:space="preserve">100</t>
    </r>
    <r>
      <rPr>
        <sz val="11"/>
        <color rgb="FF000000"/>
        <rFont val="Calibri"/>
        <family val="0"/>
        <charset val="1"/>
      </rPr>
      <t xml:space="preserve">H252E220624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</si>
</sst>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0"/>
      <charset val="1"/>
    </font>
    <font>
      <sz val="11"/>
      <color rgb="FF000000"/>
      <name val="Calibri"/>
      <family val="2"/>
      <charset val="1"/>
    </font>
    <font>
      <sz val="11"/>
      <color rgb="FF00B0F0"/>
      <name val="Calibri"/>
      <family val="2"/>
      <charset val="1"/>
    </font>
    <font>
      <b val="true"/>
      <sz val="11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D966"/>
        <bgColor rgb="FFFCD5B5"/>
      </patternFill>
    </fill>
    <fill>
      <patternFill patternType="solid">
        <fgColor rgb="FFC5E0B4"/>
        <bgColor rgb="FFD9D2E9"/>
      </patternFill>
    </fill>
    <fill>
      <patternFill patternType="solid">
        <fgColor rgb="FF9DC3E6"/>
        <bgColor rgb="FF9999FF"/>
      </patternFill>
    </fill>
    <fill>
      <patternFill patternType="solid">
        <fgColor rgb="FFD9D2E9"/>
        <bgColor rgb="FFC5E0B4"/>
      </patternFill>
    </fill>
    <fill>
      <patternFill patternType="solid">
        <fgColor rgb="FFFCD5B5"/>
        <bgColor rgb="FFD9D2E9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D966"/>
      <rgbColor rgb="FF9DC3E6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28" activeCellId="0" sqref="B28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7.7"/>
    <col collapsed="false" customWidth="true" hidden="false" outlineLevel="0" max="2" min="2" style="0" width="39.85"/>
    <col collapsed="false" customWidth="true" hidden="false" outlineLevel="0" max="3" min="3" style="0" width="12.14"/>
    <col collapsed="false" customWidth="true" hidden="false" outlineLevel="0" max="4" min="4" style="0" width="10.57"/>
    <col collapsed="false" customWidth="true" hidden="false" outlineLevel="0" max="5" min="5" style="0" width="8.28"/>
    <col collapsed="false" customWidth="true" hidden="false" outlineLevel="0" max="6" min="6" style="0" width="10.57"/>
    <col collapsed="false" customWidth="true" hidden="false" outlineLevel="0" max="7" min="7" style="0" width="14.85"/>
    <col collapsed="false" customWidth="true" hidden="false" outlineLevel="0" max="8" min="8" style="0" width="18.28"/>
    <col collapsed="false" customWidth="true" hidden="false" outlineLevel="0" max="26" min="9" style="0" width="10.57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5" hidden="false" customHeight="true" outlineLevel="0" collapsed="false">
      <c r="A2" s="1" t="n">
        <v>1</v>
      </c>
      <c r="B2" s="2" t="s">
        <v>8</v>
      </c>
      <c r="C2" s="2" t="n">
        <v>60</v>
      </c>
      <c r="D2" s="2" t="s">
        <v>9</v>
      </c>
      <c r="E2" s="2" t="s">
        <v>10</v>
      </c>
      <c r="F2" s="2" t="s">
        <v>11</v>
      </c>
      <c r="G2" s="3" t="n">
        <v>45397</v>
      </c>
      <c r="H2" s="1" t="n">
        <v>96</v>
      </c>
    </row>
    <row r="3" customFormat="false" ht="13.5" hidden="false" customHeight="true" outlineLevel="0" collapsed="false">
      <c r="A3" s="1" t="n">
        <v>1</v>
      </c>
      <c r="B3" s="2" t="s">
        <v>12</v>
      </c>
      <c r="C3" s="2" t="n">
        <v>66</v>
      </c>
      <c r="D3" s="2" t="s">
        <v>13</v>
      </c>
      <c r="E3" s="2" t="s">
        <v>14</v>
      </c>
      <c r="F3" s="2" t="s">
        <v>15</v>
      </c>
      <c r="G3" s="3" t="n">
        <v>45397</v>
      </c>
      <c r="H3" s="1" t="n">
        <v>144</v>
      </c>
    </row>
    <row r="4" customFormat="false" ht="13.5" hidden="false" customHeight="true" outlineLevel="0" collapsed="false">
      <c r="A4" s="1" t="n">
        <v>1</v>
      </c>
      <c r="B4" s="2" t="s">
        <v>16</v>
      </c>
      <c r="C4" s="2" t="n">
        <v>84</v>
      </c>
      <c r="D4" s="2" t="s">
        <v>17</v>
      </c>
      <c r="E4" s="2" t="s">
        <v>18</v>
      </c>
      <c r="F4" s="2" t="s">
        <v>19</v>
      </c>
      <c r="G4" s="3" t="n">
        <v>45397</v>
      </c>
      <c r="H4" s="1" t="n">
        <v>264</v>
      </c>
    </row>
    <row r="5" customFormat="false" ht="13.5" hidden="false" customHeight="true" outlineLevel="0" collapsed="false">
      <c r="A5" s="1" t="n">
        <v>1</v>
      </c>
      <c r="B5" s="2" t="s">
        <v>20</v>
      </c>
      <c r="C5" s="2" t="n">
        <v>92</v>
      </c>
      <c r="D5" s="2" t="s">
        <v>21</v>
      </c>
      <c r="E5" s="2" t="s">
        <v>22</v>
      </c>
      <c r="F5" s="2" t="s">
        <v>23</v>
      </c>
      <c r="G5" s="3" t="n">
        <v>45397</v>
      </c>
      <c r="H5" s="1" t="n">
        <v>264</v>
      </c>
    </row>
    <row r="6" customFormat="false" ht="13.5" hidden="false" customHeight="true" outlineLevel="0" collapsed="false">
      <c r="A6" s="1" t="n">
        <v>1</v>
      </c>
      <c r="B6" s="2" t="s">
        <v>24</v>
      </c>
      <c r="C6" s="2" t="n">
        <v>96</v>
      </c>
      <c r="D6" s="2" t="s">
        <v>25</v>
      </c>
      <c r="E6" s="2" t="s">
        <v>26</v>
      </c>
      <c r="F6" s="2" t="s">
        <v>27</v>
      </c>
      <c r="G6" s="3" t="n">
        <v>45397</v>
      </c>
      <c r="H6" s="4" t="s">
        <v>28</v>
      </c>
    </row>
    <row r="7" customFormat="false" ht="13.5" hidden="false" customHeight="true" outlineLevel="0" collapsed="false">
      <c r="A7" s="1" t="n">
        <v>2</v>
      </c>
      <c r="B7" s="5" t="s">
        <v>29</v>
      </c>
      <c r="C7" s="5" t="n">
        <v>85</v>
      </c>
      <c r="D7" s="5" t="s">
        <v>30</v>
      </c>
      <c r="E7" s="5" t="s">
        <v>31</v>
      </c>
      <c r="F7" s="5" t="s">
        <v>32</v>
      </c>
      <c r="G7" s="3" t="n">
        <v>45470</v>
      </c>
      <c r="H7" s="1" t="n">
        <v>110</v>
      </c>
    </row>
    <row r="8" customFormat="false" ht="13.5" hidden="false" customHeight="true" outlineLevel="0" collapsed="false">
      <c r="A8" s="1" t="n">
        <v>2</v>
      </c>
      <c r="B8" s="5" t="s">
        <v>33</v>
      </c>
      <c r="C8" s="5" t="n">
        <v>73</v>
      </c>
      <c r="D8" s="5" t="s">
        <v>34</v>
      </c>
      <c r="E8" s="5" t="s">
        <v>35</v>
      </c>
      <c r="F8" s="5" t="s">
        <v>36</v>
      </c>
      <c r="G8" s="3" t="n">
        <v>45470</v>
      </c>
      <c r="H8" s="1" t="n">
        <v>144</v>
      </c>
    </row>
    <row r="9" customFormat="false" ht="13.5" hidden="false" customHeight="true" outlineLevel="0" collapsed="false">
      <c r="A9" s="1" t="n">
        <v>2</v>
      </c>
      <c r="B9" s="5" t="s">
        <v>37</v>
      </c>
      <c r="C9" s="5" t="n">
        <v>94</v>
      </c>
      <c r="D9" s="5" t="s">
        <v>38</v>
      </c>
      <c r="E9" s="5" t="s">
        <v>39</v>
      </c>
      <c r="F9" s="5" t="s">
        <v>40</v>
      </c>
      <c r="G9" s="3" t="n">
        <v>45470</v>
      </c>
      <c r="H9" s="1" t="n">
        <v>216</v>
      </c>
    </row>
    <row r="10" customFormat="false" ht="13.5" hidden="false" customHeight="true" outlineLevel="0" collapsed="false">
      <c r="A10" s="1" t="n">
        <v>2</v>
      </c>
      <c r="B10" s="5" t="s">
        <v>41</v>
      </c>
      <c r="C10" s="5" t="n">
        <v>96</v>
      </c>
      <c r="D10" s="5" t="s">
        <v>42</v>
      </c>
      <c r="E10" s="5" t="s">
        <v>43</v>
      </c>
      <c r="F10" s="5" t="s">
        <v>44</v>
      </c>
      <c r="G10" s="3" t="n">
        <v>45470</v>
      </c>
      <c r="H10" s="1" t="n">
        <v>252</v>
      </c>
    </row>
    <row r="11" customFormat="false" ht="13.5" hidden="false" customHeight="true" outlineLevel="0" collapsed="false">
      <c r="A11" s="1" t="n">
        <v>3</v>
      </c>
      <c r="B11" s="6" t="s">
        <v>45</v>
      </c>
      <c r="C11" s="6" t="n">
        <v>66</v>
      </c>
      <c r="D11" s="6" t="s">
        <v>46</v>
      </c>
      <c r="E11" s="6" t="s">
        <v>47</v>
      </c>
      <c r="F11" s="6" t="s">
        <v>48</v>
      </c>
      <c r="G11" s="3" t="n">
        <v>45587</v>
      </c>
      <c r="H11" s="1" t="n">
        <v>96</v>
      </c>
    </row>
    <row r="12" customFormat="false" ht="13.5" hidden="false" customHeight="true" outlineLevel="0" collapsed="false">
      <c r="A12" s="1" t="n">
        <v>3</v>
      </c>
      <c r="B12" s="6" t="s">
        <v>49</v>
      </c>
      <c r="C12" s="6" t="n">
        <v>94</v>
      </c>
      <c r="D12" s="6" t="s">
        <v>50</v>
      </c>
      <c r="E12" s="6" t="s">
        <v>17</v>
      </c>
      <c r="F12" s="6" t="s">
        <v>51</v>
      </c>
      <c r="G12" s="3" t="n">
        <v>45587</v>
      </c>
      <c r="H12" s="1" t="n">
        <v>144</v>
      </c>
    </row>
    <row r="13" customFormat="false" ht="13.5" hidden="false" customHeight="true" outlineLevel="0" collapsed="false">
      <c r="A13" s="1" t="n">
        <v>3</v>
      </c>
      <c r="B13" s="6" t="s">
        <v>52</v>
      </c>
      <c r="C13" s="6" t="n">
        <v>96</v>
      </c>
      <c r="D13" s="6" t="s">
        <v>53</v>
      </c>
      <c r="E13" s="6" t="s">
        <v>54</v>
      </c>
      <c r="F13" s="6" t="s">
        <v>55</v>
      </c>
      <c r="G13" s="3" t="n">
        <v>45587</v>
      </c>
      <c r="H13" s="1" t="n">
        <v>216</v>
      </c>
    </row>
    <row r="14" customFormat="false" ht="13.5" hidden="false" customHeight="true" outlineLevel="0" collapsed="false">
      <c r="A14" s="1" t="n">
        <v>3</v>
      </c>
      <c r="B14" s="6" t="s">
        <v>56</v>
      </c>
      <c r="C14" s="6" t="n">
        <v>100</v>
      </c>
      <c r="D14" s="6" t="s">
        <v>53</v>
      </c>
      <c r="E14" s="6" t="s">
        <v>57</v>
      </c>
      <c r="F14" s="6" t="s">
        <v>58</v>
      </c>
      <c r="G14" s="3" t="n">
        <v>45587</v>
      </c>
      <c r="H14" s="1" t="n">
        <v>252</v>
      </c>
    </row>
    <row r="15" customFormat="false" ht="13.5" hidden="false" customHeight="true" outlineLevel="0" collapsed="false">
      <c r="A15" s="1" t="n">
        <v>4</v>
      </c>
      <c r="B15" s="2" t="s">
        <v>59</v>
      </c>
      <c r="C15" s="2" t="n">
        <v>30</v>
      </c>
      <c r="D15" s="2" t="s">
        <v>60</v>
      </c>
      <c r="E15" s="2" t="s">
        <v>61</v>
      </c>
      <c r="F15" s="2" t="s">
        <v>62</v>
      </c>
      <c r="G15" s="3" t="n">
        <v>45618</v>
      </c>
      <c r="H15" s="1" t="n">
        <v>30</v>
      </c>
    </row>
    <row r="16" customFormat="false" ht="13.5" hidden="false" customHeight="true" outlineLevel="0" collapsed="false">
      <c r="A16" s="1" t="n">
        <v>4</v>
      </c>
      <c r="B16" s="2" t="s">
        <v>63</v>
      </c>
      <c r="C16" s="2" t="n">
        <v>45</v>
      </c>
      <c r="D16" s="2" t="s">
        <v>64</v>
      </c>
      <c r="E16" s="2" t="s">
        <v>61</v>
      </c>
      <c r="F16" s="2" t="s">
        <v>65</v>
      </c>
      <c r="G16" s="3" t="n">
        <v>45618</v>
      </c>
      <c r="H16" s="1" t="n">
        <v>45</v>
      </c>
    </row>
    <row r="17" customFormat="false" ht="13.5" hidden="false" customHeight="true" outlineLevel="0" collapsed="false">
      <c r="A17" s="1" t="n">
        <v>4</v>
      </c>
      <c r="B17" s="2" t="s">
        <v>66</v>
      </c>
      <c r="C17" s="2" t="n">
        <v>70</v>
      </c>
      <c r="D17" s="2" t="s">
        <v>67</v>
      </c>
      <c r="E17" s="2" t="s">
        <v>61</v>
      </c>
      <c r="F17" s="2" t="s">
        <v>68</v>
      </c>
      <c r="G17" s="3" t="n">
        <v>45618</v>
      </c>
      <c r="H17" s="1" t="n">
        <v>70</v>
      </c>
    </row>
    <row r="18" customFormat="false" ht="13.5" hidden="false" customHeight="true" outlineLevel="0" collapsed="false">
      <c r="A18" s="1" t="n">
        <v>4</v>
      </c>
      <c r="B18" s="2" t="s">
        <v>69</v>
      </c>
      <c r="C18" s="2" t="n">
        <v>70</v>
      </c>
      <c r="D18" s="2" t="s">
        <v>70</v>
      </c>
      <c r="E18" s="2" t="s">
        <v>61</v>
      </c>
      <c r="F18" s="2" t="s">
        <v>71</v>
      </c>
      <c r="G18" s="3" t="n">
        <v>45618</v>
      </c>
      <c r="H18" s="1" t="n">
        <v>70</v>
      </c>
    </row>
    <row r="19" customFormat="false" ht="13.5" hidden="false" customHeight="true" outlineLevel="0" collapsed="false">
      <c r="A19" s="7" t="n">
        <v>5</v>
      </c>
      <c r="B19" s="8" t="s">
        <v>72</v>
      </c>
      <c r="C19" s="8" t="n">
        <v>44</v>
      </c>
      <c r="D19" s="8" t="n">
        <v>4.78</v>
      </c>
      <c r="E19" s="8" t="n">
        <v>2.65</v>
      </c>
      <c r="F19" s="8" t="n">
        <v>39.16</v>
      </c>
      <c r="G19" s="9" t="n">
        <v>45675</v>
      </c>
      <c r="H19" s="7" t="n">
        <v>30</v>
      </c>
    </row>
    <row r="20" customFormat="false" ht="13.5" hidden="false" customHeight="true" outlineLevel="0" collapsed="false">
      <c r="A20" s="7" t="n">
        <v>5</v>
      </c>
      <c r="B20" s="8" t="s">
        <v>73</v>
      </c>
      <c r="C20" s="8" t="n">
        <v>70</v>
      </c>
      <c r="D20" s="8" t="n">
        <v>4.88</v>
      </c>
      <c r="E20" s="8" t="n">
        <v>2.72</v>
      </c>
      <c r="F20" s="8" t="n">
        <v>36.69</v>
      </c>
      <c r="G20" s="9" t="n">
        <v>45675</v>
      </c>
      <c r="H20" s="7" t="n">
        <v>45</v>
      </c>
    </row>
    <row r="21" customFormat="false" ht="13.5" hidden="false" customHeight="true" outlineLevel="0" collapsed="false">
      <c r="A21" s="7" t="n">
        <v>5</v>
      </c>
      <c r="B21" s="8" t="s">
        <v>74</v>
      </c>
      <c r="C21" s="8" t="n">
        <v>87</v>
      </c>
      <c r="D21" s="8" t="n">
        <v>5.01</v>
      </c>
      <c r="E21" s="8" t="n">
        <v>2.24</v>
      </c>
      <c r="F21" s="8" t="n">
        <v>35.77</v>
      </c>
      <c r="G21" s="9" t="n">
        <v>45675</v>
      </c>
      <c r="H21" s="7" t="n">
        <v>70</v>
      </c>
    </row>
    <row r="22" customFormat="false" ht="13.5" hidden="false" customHeight="true" outlineLevel="0" collapsed="false">
      <c r="A22" s="10" t="n">
        <v>5</v>
      </c>
      <c r="B22" s="11" t="s">
        <v>75</v>
      </c>
      <c r="C22" s="11" t="n">
        <v>96</v>
      </c>
      <c r="D22" s="11" t="n">
        <v>4.16</v>
      </c>
      <c r="E22" s="11" t="n">
        <v>1.7</v>
      </c>
      <c r="F22" s="11" t="n">
        <v>37</v>
      </c>
      <c r="G22" s="12" t="n">
        <v>45675</v>
      </c>
      <c r="H22" s="10" t="n">
        <v>70</v>
      </c>
    </row>
    <row r="23" customFormat="false" ht="13.5" hidden="false" customHeight="true" outlineLevel="0" collapsed="false">
      <c r="A23" s="7" t="n">
        <v>6</v>
      </c>
      <c r="B23" s="13" t="s">
        <v>76</v>
      </c>
      <c r="C23" s="14" t="n">
        <v>60</v>
      </c>
      <c r="D23" s="14" t="s">
        <v>77</v>
      </c>
      <c r="E23" s="14" t="s">
        <v>78</v>
      </c>
      <c r="F23" s="14" t="s">
        <v>79</v>
      </c>
      <c r="G23" s="9" t="n">
        <v>45815</v>
      </c>
      <c r="H23" s="4" t="s">
        <v>28</v>
      </c>
    </row>
    <row r="24" customFormat="false" ht="13.5" hidden="false" customHeight="true" outlineLevel="0" collapsed="false">
      <c r="A24" s="7" t="n">
        <v>6</v>
      </c>
      <c r="B24" s="13" t="s">
        <v>80</v>
      </c>
      <c r="C24" s="14" t="n">
        <v>96</v>
      </c>
      <c r="D24" s="14" t="s">
        <v>77</v>
      </c>
      <c r="E24" s="14" t="s">
        <v>61</v>
      </c>
      <c r="F24" s="14" t="s">
        <v>81</v>
      </c>
      <c r="G24" s="15" t="n">
        <v>45817</v>
      </c>
      <c r="H24" s="4" t="s">
        <v>28</v>
      </c>
    </row>
    <row r="25" customFormat="false" ht="13.5" hidden="false" customHeight="true" outlineLevel="0" collapsed="false">
      <c r="A25" s="7" t="n">
        <v>6</v>
      </c>
      <c r="B25" s="13" t="s">
        <v>82</v>
      </c>
      <c r="C25" s="14" t="n">
        <v>100</v>
      </c>
      <c r="D25" s="14" t="s">
        <v>83</v>
      </c>
      <c r="E25" s="14" t="s">
        <v>84</v>
      </c>
      <c r="F25" s="14" t="s">
        <v>85</v>
      </c>
      <c r="G25" s="15" t="n">
        <v>45817</v>
      </c>
      <c r="H25" s="4" t="s">
        <v>28</v>
      </c>
    </row>
    <row r="26" customFormat="false" ht="13.5" hidden="false" customHeight="true" outlineLevel="0" collapsed="false">
      <c r="A26" s="7" t="n">
        <v>6</v>
      </c>
      <c r="B26" s="13" t="s">
        <v>86</v>
      </c>
      <c r="C26" s="14" t="n">
        <v>100</v>
      </c>
      <c r="D26" s="14" t="s">
        <v>83</v>
      </c>
      <c r="E26" s="14" t="s">
        <v>84</v>
      </c>
      <c r="F26" s="14" t="s">
        <v>85</v>
      </c>
      <c r="G26" s="15" t="n">
        <v>45817</v>
      </c>
      <c r="H26" s="4" t="s">
        <v>28</v>
      </c>
    </row>
    <row r="27" customFormat="false" ht="13.5" hidden="false" customHeight="true" outlineLevel="0" collapsed="false">
      <c r="A27" s="7" t="n">
        <v>6</v>
      </c>
      <c r="B27" s="13" t="s">
        <v>87</v>
      </c>
      <c r="C27" s="14" t="n">
        <v>100</v>
      </c>
      <c r="D27" s="14" t="s">
        <v>83</v>
      </c>
      <c r="E27" s="14" t="s">
        <v>84</v>
      </c>
      <c r="F27" s="14" t="s">
        <v>85</v>
      </c>
      <c r="G27" s="15" t="n">
        <v>45817</v>
      </c>
      <c r="H27" s="4" t="s">
        <v>28</v>
      </c>
    </row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22.85"/>
    <col collapsed="false" customWidth="true" hidden="false" outlineLevel="0" max="10" min="2" style="0" width="10.57"/>
    <col collapsed="false" customWidth="true" hidden="false" outlineLevel="0" max="11" min="11" style="0" width="11.85"/>
    <col collapsed="false" customWidth="true" hidden="false" outlineLevel="0" max="26" min="12" style="0" width="10.57"/>
  </cols>
  <sheetData>
    <row r="1" customFormat="false" ht="15" hidden="false" customHeight="false" outlineLevel="0" collapsed="false">
      <c r="A1" s="1" t="s">
        <v>88</v>
      </c>
      <c r="B1" s="16" t="s">
        <v>89</v>
      </c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1"/>
      <c r="B2" s="7" t="s">
        <v>90</v>
      </c>
      <c r="C2" s="7"/>
      <c r="D2" s="7"/>
      <c r="E2" s="7"/>
      <c r="F2" s="1" t="s">
        <v>91</v>
      </c>
      <c r="G2" s="1" t="s">
        <v>92</v>
      </c>
      <c r="H2" s="1" t="s">
        <v>93</v>
      </c>
    </row>
    <row r="3" customFormat="false" ht="15" hidden="false" customHeight="false" outlineLevel="0" collapsed="false">
      <c r="A3" s="1"/>
      <c r="B3" s="7" t="s">
        <v>94</v>
      </c>
      <c r="C3" s="7" t="s">
        <v>95</v>
      </c>
      <c r="D3" s="7" t="s">
        <v>96</v>
      </c>
      <c r="E3" s="7" t="s">
        <v>97</v>
      </c>
      <c r="F3" s="1"/>
      <c r="G3" s="1"/>
      <c r="H3" s="1"/>
      <c r="J3" s="17" t="s">
        <v>98</v>
      </c>
      <c r="K3" s="17" t="s">
        <v>99</v>
      </c>
    </row>
    <row r="4" customFormat="false" ht="15" hidden="false" customHeight="false" outlineLevel="0" collapsed="false">
      <c r="A4" s="18" t="s">
        <v>8</v>
      </c>
      <c r="B4" s="18" t="n">
        <v>14</v>
      </c>
      <c r="C4" s="18" t="n">
        <v>16</v>
      </c>
      <c r="D4" s="18" t="n">
        <v>20</v>
      </c>
      <c r="E4" s="19" t="n">
        <v>60</v>
      </c>
      <c r="F4" s="19" t="s">
        <v>9</v>
      </c>
      <c r="G4" s="19" t="s">
        <v>10</v>
      </c>
      <c r="H4" s="19" t="s">
        <v>11</v>
      </c>
      <c r="J4" s="17" t="n">
        <f aca="false">SUM(B4:D4)</f>
        <v>50</v>
      </c>
      <c r="K4" s="17" t="n">
        <f aca="false">((SUM(B4:C4))/(SUM(B4:D4)))*100</f>
        <v>60</v>
      </c>
    </row>
    <row r="5" customFormat="false" ht="15" hidden="false" customHeight="false" outlineLevel="0" collapsed="false">
      <c r="A5" s="18" t="s">
        <v>12</v>
      </c>
      <c r="B5" s="18" t="n">
        <v>15</v>
      </c>
      <c r="C5" s="18" t="n">
        <v>18</v>
      </c>
      <c r="D5" s="18" t="n">
        <v>17</v>
      </c>
      <c r="E5" s="19" t="n">
        <v>66</v>
      </c>
      <c r="F5" s="19" t="s">
        <v>13</v>
      </c>
      <c r="G5" s="19" t="s">
        <v>14</v>
      </c>
      <c r="H5" s="19" t="s">
        <v>15</v>
      </c>
      <c r="J5" s="17" t="n">
        <f aca="false">SUM(B5:D5)</f>
        <v>50</v>
      </c>
      <c r="K5" s="17" t="n">
        <f aca="false">((SUM(B5:C5))/(SUM(B5:D5)))*100</f>
        <v>66</v>
      </c>
    </row>
    <row r="6" customFormat="false" ht="15" hidden="false" customHeight="false" outlineLevel="0" collapsed="false">
      <c r="A6" s="18" t="s">
        <v>16</v>
      </c>
      <c r="B6" s="18" t="n">
        <v>24</v>
      </c>
      <c r="C6" s="18" t="n">
        <v>18</v>
      </c>
      <c r="D6" s="18" t="n">
        <v>8</v>
      </c>
      <c r="E6" s="19" t="n">
        <v>84</v>
      </c>
      <c r="F6" s="19" t="s">
        <v>17</v>
      </c>
      <c r="G6" s="19" t="s">
        <v>18</v>
      </c>
      <c r="H6" s="19" t="s">
        <v>19</v>
      </c>
      <c r="J6" s="17" t="n">
        <f aca="false">SUM(B6:D6)</f>
        <v>50</v>
      </c>
      <c r="K6" s="17" t="n">
        <f aca="false">((SUM(B6:C6))/(SUM(B6:D6)))*100</f>
        <v>84</v>
      </c>
    </row>
    <row r="7" customFormat="false" ht="15" hidden="false" customHeight="false" outlineLevel="0" collapsed="false">
      <c r="A7" s="18" t="s">
        <v>20</v>
      </c>
      <c r="B7" s="18" t="n">
        <v>37</v>
      </c>
      <c r="C7" s="18" t="n">
        <v>9</v>
      </c>
      <c r="D7" s="18" t="n">
        <v>4</v>
      </c>
      <c r="E7" s="19" t="n">
        <v>92</v>
      </c>
      <c r="F7" s="19" t="s">
        <v>21</v>
      </c>
      <c r="G7" s="19" t="s">
        <v>22</v>
      </c>
      <c r="H7" s="19" t="s">
        <v>23</v>
      </c>
      <c r="J7" s="17" t="n">
        <f aca="false">SUM(B7:D7)</f>
        <v>50</v>
      </c>
      <c r="K7" s="17" t="n">
        <f aca="false">((SUM(B7:C7))/(SUM(B7:D7)))*100</f>
        <v>92</v>
      </c>
    </row>
    <row r="8" customFormat="false" ht="15" hidden="false" customHeight="false" outlineLevel="0" collapsed="false">
      <c r="A8" s="18" t="s">
        <v>24</v>
      </c>
      <c r="B8" s="19" t="n">
        <v>41</v>
      </c>
      <c r="C8" s="19" t="n">
        <v>7</v>
      </c>
      <c r="D8" s="19" t="n">
        <v>2</v>
      </c>
      <c r="E8" s="19" t="n">
        <v>96</v>
      </c>
      <c r="F8" s="19" t="s">
        <v>25</v>
      </c>
      <c r="G8" s="19" t="s">
        <v>26</v>
      </c>
      <c r="H8" s="19" t="s">
        <v>27</v>
      </c>
      <c r="J8" s="17" t="n">
        <f aca="false">SUM(B8:D8)</f>
        <v>50</v>
      </c>
      <c r="K8" s="17" t="n">
        <f aca="false">((SUM(B8:C8))/(SUM(B8:D8)))*100</f>
        <v>96</v>
      </c>
    </row>
    <row r="9" customFormat="false" ht="15" hidden="false" customHeight="false" outlineLevel="0" collapsed="false">
      <c r="A9" s="20" t="s">
        <v>29</v>
      </c>
      <c r="B9" s="20" t="n">
        <v>47</v>
      </c>
      <c r="C9" s="20" t="n">
        <v>38</v>
      </c>
      <c r="D9" s="20" t="n">
        <v>15</v>
      </c>
      <c r="E9" s="21" t="n">
        <v>85</v>
      </c>
      <c r="F9" s="21" t="s">
        <v>30</v>
      </c>
      <c r="G9" s="21" t="s">
        <v>31</v>
      </c>
      <c r="H9" s="21" t="s">
        <v>32</v>
      </c>
      <c r="J9" s="17" t="n">
        <f aca="false">SUM(B9:D9)</f>
        <v>100</v>
      </c>
      <c r="K9" s="17" t="n">
        <f aca="false">((SUM(B9:C9))/(SUM(B9:D9)))*100</f>
        <v>85</v>
      </c>
    </row>
    <row r="10" customFormat="false" ht="15" hidden="false" customHeight="false" outlineLevel="0" collapsed="false">
      <c r="A10" s="20" t="s">
        <v>33</v>
      </c>
      <c r="B10" s="20" t="n">
        <v>39</v>
      </c>
      <c r="C10" s="20" t="n">
        <v>34</v>
      </c>
      <c r="D10" s="20" t="n">
        <v>27</v>
      </c>
      <c r="E10" s="21" t="n">
        <v>73</v>
      </c>
      <c r="F10" s="21" t="s">
        <v>34</v>
      </c>
      <c r="G10" s="21" t="s">
        <v>35</v>
      </c>
      <c r="H10" s="21" t="s">
        <v>36</v>
      </c>
      <c r="J10" s="17" t="n">
        <f aca="false">SUM(B10:D10)</f>
        <v>100</v>
      </c>
      <c r="K10" s="17" t="n">
        <f aca="false">((SUM(B10:C10))/(SUM(B10:D10)))*100</f>
        <v>73</v>
      </c>
    </row>
    <row r="11" customFormat="false" ht="15" hidden="false" customHeight="false" outlineLevel="0" collapsed="false">
      <c r="A11" s="20" t="s">
        <v>37</v>
      </c>
      <c r="B11" s="20" t="n">
        <v>71</v>
      </c>
      <c r="C11" s="20" t="n">
        <v>23</v>
      </c>
      <c r="D11" s="20" t="n">
        <v>6</v>
      </c>
      <c r="E11" s="21" t="n">
        <v>94</v>
      </c>
      <c r="F11" s="21" t="s">
        <v>38</v>
      </c>
      <c r="G11" s="21" t="s">
        <v>39</v>
      </c>
      <c r="H11" s="21" t="s">
        <v>40</v>
      </c>
      <c r="J11" s="17" t="n">
        <f aca="false">SUM(B11:D11)</f>
        <v>100</v>
      </c>
      <c r="K11" s="17" t="n">
        <f aca="false">((SUM(B11:C11))/(SUM(B11:D11)))*100</f>
        <v>94</v>
      </c>
    </row>
    <row r="12" customFormat="false" ht="15" hidden="false" customHeight="false" outlineLevel="0" collapsed="false">
      <c r="A12" s="20" t="s">
        <v>41</v>
      </c>
      <c r="B12" s="20" t="n">
        <v>69</v>
      </c>
      <c r="C12" s="20" t="n">
        <v>27</v>
      </c>
      <c r="D12" s="20" t="n">
        <v>4</v>
      </c>
      <c r="E12" s="21" t="n">
        <v>96</v>
      </c>
      <c r="F12" s="21" t="s">
        <v>42</v>
      </c>
      <c r="G12" s="21" t="s">
        <v>43</v>
      </c>
      <c r="H12" s="21" t="s">
        <v>44</v>
      </c>
      <c r="J12" s="17" t="n">
        <f aca="false">SUM(B12:D12)</f>
        <v>100</v>
      </c>
      <c r="K12" s="17" t="n">
        <f aca="false">((SUM(B12:C12))/(SUM(B12:D12)))*100</f>
        <v>96</v>
      </c>
    </row>
    <row r="13" customFormat="false" ht="15" hidden="false" customHeight="false" outlineLevel="0" collapsed="false">
      <c r="A13" s="22" t="s">
        <v>45</v>
      </c>
      <c r="B13" s="22" t="n">
        <v>19</v>
      </c>
      <c r="C13" s="22" t="n">
        <v>14</v>
      </c>
      <c r="D13" s="22" t="n">
        <v>17</v>
      </c>
      <c r="E13" s="23" t="n">
        <v>66</v>
      </c>
      <c r="F13" s="24"/>
      <c r="G13" s="24"/>
      <c r="H13" s="24"/>
      <c r="J13" s="17" t="n">
        <f aca="false">SUM(B13:D13)</f>
        <v>50</v>
      </c>
      <c r="K13" s="17" t="n">
        <f aca="false">((SUM(B13:C13))/(SUM(B13:D13)))*100</f>
        <v>66</v>
      </c>
    </row>
    <row r="14" customFormat="false" ht="15" hidden="false" customHeight="false" outlineLevel="0" collapsed="false">
      <c r="A14" s="22" t="s">
        <v>100</v>
      </c>
      <c r="B14" s="22" t="n">
        <v>34</v>
      </c>
      <c r="C14" s="22" t="n">
        <v>13</v>
      </c>
      <c r="D14" s="22" t="n">
        <v>3</v>
      </c>
      <c r="E14" s="23" t="n">
        <v>94</v>
      </c>
      <c r="F14" s="24"/>
      <c r="G14" s="24"/>
      <c r="H14" s="24"/>
      <c r="J14" s="17" t="n">
        <f aca="false">SUM(B14:D14)</f>
        <v>50</v>
      </c>
      <c r="K14" s="17" t="n">
        <f aca="false">((SUM(B14:C14))/(SUM(B14:D14)))*100</f>
        <v>94</v>
      </c>
    </row>
    <row r="15" customFormat="false" ht="15" hidden="false" customHeight="false" outlineLevel="0" collapsed="false">
      <c r="A15" s="22" t="s">
        <v>101</v>
      </c>
      <c r="B15" s="22" t="n">
        <v>32</v>
      </c>
      <c r="C15" s="22" t="n">
        <v>16</v>
      </c>
      <c r="D15" s="22" t="n">
        <v>2</v>
      </c>
      <c r="E15" s="23" t="n">
        <v>96</v>
      </c>
      <c r="F15" s="24"/>
      <c r="G15" s="24"/>
      <c r="H15" s="24"/>
      <c r="J15" s="17" t="n">
        <f aca="false">SUM(B15:D15)</f>
        <v>50</v>
      </c>
      <c r="K15" s="17" t="n">
        <f aca="false">((SUM(B15:C15))/(SUM(B15:D15)))*100</f>
        <v>96</v>
      </c>
    </row>
    <row r="16" customFormat="false" ht="15" hidden="false" customHeight="false" outlineLevel="0" collapsed="false">
      <c r="A16" s="22" t="s">
        <v>102</v>
      </c>
      <c r="B16" s="22" t="n">
        <v>40</v>
      </c>
      <c r="C16" s="22" t="n">
        <v>10</v>
      </c>
      <c r="D16" s="22" t="n">
        <v>0</v>
      </c>
      <c r="E16" s="23" t="n">
        <v>100</v>
      </c>
      <c r="F16" s="24"/>
      <c r="G16" s="24"/>
      <c r="H16" s="24"/>
      <c r="J16" s="17" t="n">
        <f aca="false">SUM(B16:D16)</f>
        <v>50</v>
      </c>
      <c r="K16" s="17" t="n">
        <f aca="false">((SUM(B16:C16))/(SUM(B16:D16)))*100</f>
        <v>100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A1:A2"/>
    <mergeCell ref="B1:H1"/>
    <mergeCell ref="B2:E2"/>
    <mergeCell ref="F2:F3"/>
    <mergeCell ref="G2:G3"/>
    <mergeCell ref="H2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2024-09-05T21:27:42Z</dcterms:created>
  <dc:creator>Kebin Andrés Contreras</dc:creator>
  <dc:description/>
  <dc:language>en-US</dc:language>
  <cp:lastModifiedBy/>
  <dcterms:modified xsi:type="dcterms:W3CDTF">2025-07-19T15:25:56Z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